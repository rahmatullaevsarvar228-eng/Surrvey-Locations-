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isht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8A6100"/>
    </font>
    <font>
      <color rgb="005F6368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E8EDF3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4" fillId="3" borderId="1" pivotButton="0" quotePrefix="0" xfId="0"/>
    <xf numFmtId="3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90" customWidth="1" min="10" max="10"/>
  </cols>
  <sheetData>
    <row r="1">
      <c r="A1" s="1" t="inlineStr">
        <is>
          <t>BHMS ↔ MHXS solishtirma (BHMS 11 (2024) | IAS 38)</t>
        </is>
      </c>
    </row>
    <row r="2">
      <c r="A2" t="inlineStr">
        <is>
          <t>"Olmaliq KMK" AJ</t>
        </is>
      </c>
    </row>
    <row r="3">
      <c r="A3" t="inlineStr">
        <is>
          <t>11.10.2026 holatiga</t>
        </is>
      </c>
    </row>
    <row r="4">
      <c r="A4" s="2" t="inlineStr">
        <is>
          <t>Shartli misol, "Olmaliq KMK" AJ faoliyati yo'nalishlari asosida</t>
        </is>
      </c>
    </row>
    <row r="5">
      <c r="A5" s="3" t="inlineStr">
        <is>
          <t>Tuzilgan: 11.10.2026 16:41 · ITTKI Nazorat</t>
        </is>
      </c>
    </row>
    <row r="7">
      <c r="A7" s="4" t="inlineStr">
        <is>
          <t>Loyiha</t>
        </is>
      </c>
      <c r="B7" s="4" t="inlineStr">
        <is>
          <t>Nomi</t>
        </is>
      </c>
      <c r="C7" s="4" t="inlineStr">
        <is>
          <t>Qaror IAS 38</t>
        </is>
      </c>
      <c r="D7" s="4" t="inlineStr">
        <is>
          <t>Qaror BHMS 11</t>
        </is>
      </c>
      <c r="E7" s="4" t="inlineStr">
        <is>
          <t>Kapitallashtirilgan IAS 38</t>
        </is>
      </c>
      <c r="F7" s="4" t="inlineStr">
        <is>
          <t>Kapitallashtirilgan BHMS 11</t>
        </is>
      </c>
      <c r="G7" s="4" t="inlineStr">
        <is>
          <t>Balans qiymati IAS 38</t>
        </is>
      </c>
      <c r="H7" s="4" t="inlineStr">
        <is>
          <t>Balans qiymati BHMS 11</t>
        </is>
      </c>
      <c r="I7" s="4" t="inlineStr">
        <is>
          <t>Farq</t>
        </is>
      </c>
      <c r="J7" s="4" t="inlineStr">
        <is>
          <t>Farq sabablari</t>
        </is>
      </c>
    </row>
    <row r="8">
      <c r="A8" s="5" t="inlineStr">
        <is>
          <t>DEMO-ATJBT-02</t>
        </is>
      </c>
      <c r="B8" s="5" t="inlineStr">
        <is>
          <t>Boyitish fabrikasining texnologik jarayonlarini avtomatlashtirilgan boshqarish tizimi (ATJBT)</t>
        </is>
      </c>
      <c r="C8" s="5" t="inlineStr">
        <is>
          <t>Kapitallashtiriladi</t>
        </is>
      </c>
      <c r="D8" s="5" t="inlineStr">
        <is>
          <t>Kapitallashtiriladi</t>
        </is>
      </c>
      <c r="E8" s="6" t="n">
        <v>270000000</v>
      </c>
      <c r="F8" s="6" t="n">
        <v>880000000</v>
      </c>
      <c r="G8" s="6" t="n">
        <v>270000000</v>
      </c>
      <c r="H8" s="6" t="n">
        <v>880000000</v>
      </c>
      <c r="I8" s="6" t="n">
        <v>-610000000</v>
      </c>
      <c r="J8" s="7" t="inlineStr">
        <is>
          <t>K3 (foydalanish yoki sotish qobiliyati) bajarilmagan — IAS 38 bo'yicha xarajatga, BHMS 11 bo'yicha kapitallashtirilgan (BHMS 11 da alohida mezon yo'q)
14.11.2025 Tashqi tashkilotlar xizmatlari 260 000 000 so'm: IAS 38 — xarajat 260 000 000 (R6), BHMS 11 — kapitallashtirish 260 000 000 (R7)
13.02.2026 Materiallar 210 000 000 so'm: IAS 38 — xarajat 210 000 000 (R6), BHMS 11 — kapitallashtirish 210 000 000 (R7)
15.05.2026 Ish haqi (ITTKI xodimlari) 140 000 000 so'm: IAS 38 — xarajat 140 000 000 (R6), BHMS 11 — kapitallashtirish 140 000 000 (R7)</t>
        </is>
      </c>
    </row>
    <row r="9">
      <c r="A9" s="5" t="inlineStr">
        <is>
          <t>DEMO-FLOT-01</t>
        </is>
      </c>
      <c r="B9" s="5" t="inlineStr">
        <is>
          <t>Mis-molibden rudalarini flotatsiya qilish texnologiyasini takomillashtirish</t>
        </is>
      </c>
      <c r="C9" s="5" t="inlineStr">
        <is>
          <t>Kapitallashtiriladi</t>
        </is>
      </c>
      <c r="D9" s="5" t="inlineStr">
        <is>
          <t>Kapitallashtiriladi</t>
        </is>
      </c>
      <c r="E9" s="6" t="n">
        <v>1568000000</v>
      </c>
      <c r="F9" s="6" t="n">
        <v>1568000000</v>
      </c>
      <c r="G9" s="6" t="n">
        <v>1453666669</v>
      </c>
      <c r="H9" s="6" t="n">
        <v>1385066669</v>
      </c>
      <c r="I9" s="6" t="n">
        <v>68600000</v>
      </c>
      <c r="J9" s="7" t="inlineStr">
        <is>
          <t>Amortizatsiya muddati: IAS 38 — 96 oy, BHMS 11 — 60 oy (BHMS 11, 16-band: 5 yildan oshmaydi)</t>
        </is>
      </c>
    </row>
    <row r="10">
      <c r="A10" s="5" t="inlineStr">
        <is>
          <t>DEMO-GIDRO-04</t>
        </is>
      </c>
      <c r="B10" s="5" t="inlineStr">
        <is>
          <t>Mis eritish shlaklarini gidrometallurgik qayta ishlash (to'xtatilgan)</t>
        </is>
      </c>
      <c r="C10" s="5" t="inlineStr">
        <is>
          <t>Hisobdan chiqarilgan</t>
        </is>
      </c>
      <c r="D10" s="5" t="inlineStr">
        <is>
          <t>Hisobdan chiqarilgan</t>
        </is>
      </c>
      <c r="E10" s="6" t="n">
        <v>495000000</v>
      </c>
      <c r="F10" s="6" t="n">
        <v>495000000</v>
      </c>
      <c r="G10" s="6" t="n">
        <v>0</v>
      </c>
      <c r="H10" s="6" t="n">
        <v>0</v>
      </c>
      <c r="I10" s="6" t="n">
        <v>0</v>
      </c>
      <c r="J10" s="7" t="inlineStr">
        <is>
          <t>Farq yo'q</t>
        </is>
      </c>
    </row>
    <row r="11">
      <c r="A11" s="5" t="inlineStr">
        <is>
          <t>DEMO-REAG-03</t>
        </is>
      </c>
      <c r="B11" s="5" t="inlineStr">
        <is>
          <t>Yangi flotatsiya reagentlarini tadqiq qilish (faqat tadqiqot)</t>
        </is>
      </c>
      <c r="C11" s="5" t="inlineStr">
        <is>
          <t>Xarajat</t>
        </is>
      </c>
      <c r="D11" s="5" t="inlineStr">
        <is>
          <t>Xarajat</t>
        </is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7" t="inlineStr">
        <is>
          <t>Farq yo'q</t>
        </is>
      </c>
    </row>
    <row r="12">
      <c r="A12" s="8" t="inlineStr">
        <is>
          <t>Jami</t>
        </is>
      </c>
      <c r="B12" s="8" t="inlineStr"/>
      <c r="C12" s="8" t="inlineStr"/>
      <c r="D12" s="8" t="inlineStr"/>
      <c r="E12" s="9">
        <f>SUM(E8:E11)</f>
        <v/>
      </c>
      <c r="F12" s="9">
        <f>SUM(F8:F11)</f>
        <v/>
      </c>
      <c r="G12" s="9">
        <f>SUM(G8:G11)</f>
        <v/>
      </c>
      <c r="H12" s="9">
        <f>SUM(H8:H11)</f>
        <v/>
      </c>
      <c r="I12" s="9">
        <f>SUM(I8:I11)</f>
        <v/>
      </c>
      <c r="J1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2026-10-11T16:41:44Z</dcterms:created>
  <dcterms:modified xmlns:dcterms="http://purl.org/dc/terms/" xmlns:xsi="http://www.w3.org/2001/XMLSchema-instance" xsi:type="dcterms:W3CDTF">2026-10-11T16:41:44Z</dcterms:modified>
</cp:coreProperties>
</file>